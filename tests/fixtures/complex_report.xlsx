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驾驶舱" sheetId="1" state="visible" r:id="rId1"/>
  </sheets>
  <definedNames>
    <definedName name="_xlnm._FilterDatabase" localSheetId="0" hidden="1">'经营驾驶舱'!$A$5:$L$12</definedName>
    <definedName name="_xlnm.Print_Titles" localSheetId="0">'经营驾驶舱'!$1:$7</definedName>
    <definedName name="_xlnm.Print_Area" localSheetId="0">'经营驾驶舱'!$A$1:$L$24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FFFFFFFF"/>
      <sz val="20"/>
    </font>
    <font>
      <name val="微软雅黑"/>
      <color rgb="FF666666"/>
      <sz val="9"/>
    </font>
    <font>
      <name val="微软雅黑"/>
      <b val="1"/>
      <color rgb="FF1F4E79"/>
      <sz val="13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right" vertical="center"/>
    </xf>
    <xf numFmtId="0" fontId="0" fillId="4" borderId="0" pivotButton="0" quotePrefix="0" xfId="0"/>
  </cellXfs>
  <cellStyles count="1">
    <cellStyle name="Normal" xfId="0" builtinId="0" hidden="0"/>
  </cellStyles>
  <dxfs count="1">
    <dxf>
      <font>
        <name val="微软雅黑"/>
        <b val="1"/>
        <color rgb="FFC00000"/>
        <sz val="1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收入矩阵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'经营驾驶舱'!B16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'经营驾驶舱'!$A$17:$A$20</f>
            </numRef>
          </cat>
          <val>
            <numRef>
              <f>'经营驾驶舱'!$B$17:$B$20</f>
            </numRef>
          </val>
        </ser>
        <ser>
          <idx val="1"/>
          <order val="1"/>
          <tx>
            <strRef>
              <f>'经营驾驶舱'!C16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'经营驾驶舱'!$A$17:$A$20</f>
            </numRef>
          </cat>
          <val>
            <numRef>
              <f>'经营驾驶舱'!$C$17:$C$20</f>
            </numRef>
          </val>
        </ser>
        <ser>
          <idx val="2"/>
          <order val="2"/>
          <tx>
            <strRef>
              <f>'经营驾驶舱'!D16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'经营驾驶舱'!$A$17:$A$20</f>
            </numRef>
          </cat>
          <val>
            <numRef>
              <f>'经营驾驶舱'!$D$17:$D$20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区域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Minis</author>
  </authors>
  <commentList>
    <comment ref="L9" authorId="0" shapeId="0">
      <text>
        <t>该单元格用于记录特殊事项。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</row>
      <rowOff>0</rowOff>
    </from>
    <ext cx="1333500" cy="400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KPI_Table" displayName="KPI_Table" ref="A5:L12" headerRowCount="1">
  <autoFilter ref="A5:L12"/>
  <tableColumns count="12">
    <tableColumn id="1" name="业务线"/>
    <tableColumn id="2" name="区域"/>
    <tableColumn id="3" name="收入"/>
    <tableColumn id="4" name="None"/>
    <tableColumn id="5" name="None"/>
    <tableColumn id="6" name="利润"/>
    <tableColumn id="7" name="None"/>
    <tableColumn id="8" name="None"/>
    <tableColumn id="9" name="效率"/>
    <tableColumn id="10" name="None"/>
    <tableColumn id="11" name="状态"/>
    <tableColumn id="12" name="Non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L21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8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4" customHeight="1">
      <c r="A1" s="1" t="inlineStr">
        <is>
          <t>集团经营驾驶舱 - 月度经营分析</t>
        </is>
      </c>
    </row>
    <row r="2" ht="24" customHeight="1">
      <c r="C2" s="2" t="inlineStr">
        <is>
          <t>期间：2026-05</t>
        </is>
      </c>
      <c r="F2" s="2" t="inlineStr">
        <is>
          <t>币种：人民币万元</t>
        </is>
      </c>
      <c r="I2" s="2" t="inlineStr">
        <is>
          <t>版本：V1.0 / 未审计</t>
        </is>
      </c>
    </row>
    <row r="4">
      <c r="A4" s="3" t="inlineStr">
        <is>
          <t>一、核心 KPI</t>
        </is>
      </c>
    </row>
    <row r="5">
      <c r="A5" s="4" t="inlineStr">
        <is>
          <t>业务线</t>
        </is>
      </c>
      <c r="B5" s="4" t="inlineStr">
        <is>
          <t>区域</t>
        </is>
      </c>
      <c r="C5" s="4" t="inlineStr">
        <is>
          <t>收入</t>
        </is>
      </c>
      <c r="D5" s="4" t="n"/>
      <c r="E5" s="4" t="n"/>
      <c r="F5" s="4" t="inlineStr">
        <is>
          <t>利润</t>
        </is>
      </c>
      <c r="G5" s="4" t="n"/>
      <c r="H5" s="4" t="n"/>
      <c r="I5" s="4" t="inlineStr">
        <is>
          <t>效率</t>
        </is>
      </c>
      <c r="J5" s="4" t="n"/>
      <c r="K5" s="4" t="inlineStr">
        <is>
          <t>状态</t>
        </is>
      </c>
      <c r="L5" s="4" t="n"/>
    </row>
    <row r="6">
      <c r="A6" s="4" t="n"/>
      <c r="B6" s="4" t="n"/>
      <c r="C6" s="4" t="inlineStr">
        <is>
          <t>本月</t>
        </is>
      </c>
      <c r="D6" s="4" t="inlineStr">
        <is>
          <t>预算</t>
        </is>
      </c>
      <c r="E6" s="4" t="inlineStr">
        <is>
          <t>达成率</t>
        </is>
      </c>
      <c r="F6" s="4" t="inlineStr">
        <is>
          <t>本月</t>
        </is>
      </c>
      <c r="G6" s="4" t="inlineStr">
        <is>
          <t>预算</t>
        </is>
      </c>
      <c r="H6" s="4" t="inlineStr">
        <is>
          <t>达成率</t>
        </is>
      </c>
      <c r="I6" s="4" t="inlineStr">
        <is>
          <t>人效</t>
        </is>
      </c>
      <c r="J6" s="4" t="inlineStr">
        <is>
          <t>周转天数</t>
        </is>
      </c>
      <c r="K6" s="4" t="inlineStr">
        <is>
          <t>评级</t>
        </is>
      </c>
      <c r="L6" s="4" t="inlineStr">
        <is>
          <t>备注</t>
        </is>
      </c>
    </row>
    <row r="7">
      <c r="A7" s="5" t="inlineStr">
        <is>
          <t>云业务</t>
        </is>
      </c>
      <c r="B7" s="5" t="inlineStr">
        <is>
          <t>华东</t>
        </is>
      </c>
      <c r="C7" s="6" t="n">
        <v>3200</v>
      </c>
      <c r="D7" s="6" t="n">
        <v>3000</v>
      </c>
      <c r="E7" s="7">
        <f>C7/D7</f>
        <v/>
      </c>
      <c r="F7" s="6" t="n">
        <v>680</v>
      </c>
      <c r="G7" s="6" t="n">
        <v>650</v>
      </c>
      <c r="H7" s="7">
        <f>F7/G7</f>
        <v/>
      </c>
      <c r="I7" s="6" t="n">
        <v>42.1</v>
      </c>
      <c r="J7" s="6" t="n">
        <v>31</v>
      </c>
      <c r="K7" s="5" t="inlineStr">
        <is>
          <t>A</t>
        </is>
      </c>
      <c r="L7" s="5" t="inlineStr">
        <is>
          <t>增长稳健</t>
        </is>
      </c>
    </row>
    <row r="8">
      <c r="A8" s="5" t="inlineStr">
        <is>
          <t>云业务</t>
        </is>
      </c>
      <c r="B8" s="5" t="inlineStr">
        <is>
          <t>华南</t>
        </is>
      </c>
      <c r="C8" s="6" t="n">
        <v>2800</v>
      </c>
      <c r="D8" s="6" t="n">
        <v>3100</v>
      </c>
      <c r="E8" s="7">
        <f>C8/D8</f>
        <v/>
      </c>
      <c r="F8" s="6" t="n">
        <v>520</v>
      </c>
      <c r="G8" s="6" t="n">
        <v>600</v>
      </c>
      <c r="H8" s="7">
        <f>F8/G8</f>
        <v/>
      </c>
      <c r="I8" s="6" t="n">
        <v>38.5</v>
      </c>
      <c r="J8" s="6" t="n">
        <v>35</v>
      </c>
      <c r="K8" s="5" t="inlineStr">
        <is>
          <t>B</t>
        </is>
      </c>
      <c r="L8" s="5" t="inlineStr">
        <is>
          <t>需关注预算缺口</t>
        </is>
      </c>
    </row>
    <row r="9">
      <c r="A9" s="5" t="inlineStr">
        <is>
          <t>软件</t>
        </is>
      </c>
      <c r="B9" s="5" t="inlineStr">
        <is>
          <t>华东</t>
        </is>
      </c>
      <c r="C9" s="6" t="n">
        <v>1900</v>
      </c>
      <c r="D9" s="6" t="n">
        <v>1800</v>
      </c>
      <c r="E9" s="7">
        <f>C9/D9</f>
        <v/>
      </c>
      <c r="F9" s="6" t="n">
        <v>410</v>
      </c>
      <c r="G9" s="6" t="n">
        <v>390</v>
      </c>
      <c r="H9" s="7">
        <f>F9/G9</f>
        <v/>
      </c>
      <c r="I9" s="6" t="n">
        <v>55</v>
      </c>
      <c r="J9" s="6" t="n">
        <v>22</v>
      </c>
      <c r="K9" s="5" t="inlineStr">
        <is>
          <t>A</t>
        </is>
      </c>
      <c r="L9" s="5" t="inlineStr"/>
    </row>
    <row r="10">
      <c r="A10" s="5" t="inlineStr">
        <is>
          <t>软件</t>
        </is>
      </c>
      <c r="B10" s="5" t="inlineStr">
        <is>
          <t>华北</t>
        </is>
      </c>
      <c r="C10" s="6" t="n">
        <v>1500</v>
      </c>
      <c r="D10" s="6" t="n">
        <v>1700</v>
      </c>
      <c r="E10" s="7">
        <f>C10/D10</f>
        <v/>
      </c>
      <c r="F10" s="6" t="n">
        <v>260</v>
      </c>
      <c r="G10" s="6" t="n">
        <v>330</v>
      </c>
      <c r="H10" s="7">
        <f>F10/G10</f>
        <v/>
      </c>
      <c r="I10" s="6" t="n">
        <v>46.8</v>
      </c>
      <c r="J10" s="6" t="n">
        <v>28</v>
      </c>
      <c r="K10" s="5" t="inlineStr">
        <is>
          <t>C</t>
        </is>
      </c>
      <c r="L10" s="5" t="inlineStr">
        <is>
          <t>利润承压</t>
        </is>
      </c>
    </row>
    <row r="11">
      <c r="A11" s="5" t="inlineStr">
        <is>
          <t>服务</t>
        </is>
      </c>
      <c r="B11" s="5" t="inlineStr">
        <is>
          <t>西南</t>
        </is>
      </c>
      <c r="C11" s="6" t="n">
        <v>900</v>
      </c>
      <c r="D11" s="6" t="n">
        <v>850</v>
      </c>
      <c r="E11" s="7">
        <f>C11/D11</f>
        <v/>
      </c>
      <c r="F11" s="6" t="n">
        <v>180</v>
      </c>
      <c r="G11" s="6" t="n">
        <v>160</v>
      </c>
      <c r="H11" s="7">
        <f>F11/G11</f>
        <v/>
      </c>
      <c r="I11" s="6" t="n">
        <v>33.2</v>
      </c>
      <c r="J11" s="6" t="n">
        <v>41</v>
      </c>
      <c r="K11" s="5" t="inlineStr">
        <is>
          <t>B</t>
        </is>
      </c>
      <c r="L11" s="5" t="inlineStr"/>
    </row>
    <row r="12">
      <c r="A12" s="8" t="inlineStr">
        <is>
          <t>总计</t>
        </is>
      </c>
      <c r="B12" s="8" t="n"/>
      <c r="C12" s="9">
        <f>SUM(C7:C11)</f>
        <v/>
      </c>
      <c r="D12" s="9">
        <f>SUM(D7:D11)</f>
        <v/>
      </c>
      <c r="E12" s="10">
        <f>C12/D12</f>
        <v/>
      </c>
      <c r="F12" s="9">
        <f>SUM(F7:F11)</f>
        <v/>
      </c>
      <c r="G12" s="9">
        <f>SUM(G7:G11)</f>
        <v/>
      </c>
      <c r="H12" s="10">
        <f>F12/G12</f>
        <v/>
      </c>
      <c r="I12" s="9">
        <f>SUM(I7:I11)</f>
        <v/>
      </c>
      <c r="J12" s="9">
        <f>SUM(J7:J11)</f>
        <v/>
      </c>
      <c r="K12" s="11" t="n"/>
      <c r="L12" s="11" t="n"/>
    </row>
    <row r="15">
      <c r="A15" s="3" t="inlineStr">
        <is>
          <t>二、区域 × 业务线收入矩阵</t>
        </is>
      </c>
    </row>
    <row r="16">
      <c r="A16" s="4" t="inlineStr">
        <is>
          <t>区域</t>
        </is>
      </c>
      <c r="B16" s="4" t="inlineStr">
        <is>
          <t>云业务</t>
        </is>
      </c>
      <c r="C16" s="4" t="inlineStr">
        <is>
          <t>软件</t>
        </is>
      </c>
      <c r="D16" s="4" t="inlineStr">
        <is>
          <t>服务</t>
        </is>
      </c>
      <c r="E16" s="4" t="inlineStr">
        <is>
          <t>合计</t>
        </is>
      </c>
    </row>
    <row r="17">
      <c r="A17" s="5" t="inlineStr">
        <is>
          <t>华东</t>
        </is>
      </c>
      <c r="B17" s="6" t="n">
        <v>3200</v>
      </c>
      <c r="C17" s="6" t="n">
        <v>1900</v>
      </c>
      <c r="D17" s="6" t="n">
        <v>0</v>
      </c>
      <c r="E17" s="12">
        <f>SUM(B17:D17)</f>
        <v/>
      </c>
    </row>
    <row r="18">
      <c r="A18" s="5" t="inlineStr">
        <is>
          <t>华南</t>
        </is>
      </c>
      <c r="B18" s="6" t="n">
        <v>2800</v>
      </c>
      <c r="C18" s="6" t="n">
        <v>0</v>
      </c>
      <c r="D18" s="6" t="n">
        <v>0</v>
      </c>
      <c r="E18" s="12">
        <f>SUM(B18:D18)</f>
        <v/>
      </c>
    </row>
    <row r="19">
      <c r="A19" s="5" t="inlineStr">
        <is>
          <t>华北</t>
        </is>
      </c>
      <c r="B19" s="6" t="n">
        <v>0</v>
      </c>
      <c r="C19" s="6" t="n">
        <v>1500</v>
      </c>
      <c r="D19" s="6" t="n">
        <v>0</v>
      </c>
      <c r="E19" s="12">
        <f>SUM(B19:D19)</f>
        <v/>
      </c>
    </row>
    <row r="20">
      <c r="A20" s="5" t="inlineStr">
        <is>
          <t>西南</t>
        </is>
      </c>
      <c r="B20" s="6" t="n">
        <v>0</v>
      </c>
      <c r="C20" s="6" t="n">
        <v>0</v>
      </c>
      <c r="D20" s="6" t="n">
        <v>900</v>
      </c>
      <c r="E20" s="12">
        <f>SUM(B20:D20)</f>
        <v/>
      </c>
    </row>
    <row r="21">
      <c r="A21" s="8" t="inlineStr">
        <is>
          <t>合计</t>
        </is>
      </c>
      <c r="B21" s="9">
        <f>SUM(B17:B20)</f>
        <v/>
      </c>
      <c r="C21" s="9">
        <f>SUM(C17:C20)</f>
        <v/>
      </c>
      <c r="D21" s="9">
        <f>SUM(D17:D20)</f>
        <v/>
      </c>
      <c r="E21" s="9">
        <f>SUM(E17:E20)</f>
        <v/>
      </c>
    </row>
  </sheetData>
  <autoFilter ref="A5:L12"/>
  <mergeCells count="13">
    <mergeCell ref="C2:E2"/>
    <mergeCell ref="A5:A6"/>
    <mergeCell ref="A15:L15"/>
    <mergeCell ref="F5:H5"/>
    <mergeCell ref="C5:E5"/>
    <mergeCell ref="A1:L1"/>
    <mergeCell ref="K5:L5"/>
    <mergeCell ref="I5:J5"/>
    <mergeCell ref="F2:H2"/>
    <mergeCell ref="I2:L2"/>
    <mergeCell ref="B5:B6"/>
    <mergeCell ref="A4:L4"/>
    <mergeCell ref="A12:B12"/>
  </mergeCells>
  <conditionalFormatting sqref="E7:E12">
    <cfRule type="cellIs" priority="1" operator="lessThan" dxfId="0">
      <formula>0.9</formula>
    </cfRule>
  </conditionalFormatting>
  <conditionalFormatting sqref="H7:H12">
    <cfRule type="cellIs" priority="2" operator="lessThan" dxfId="0">
      <formula>0.9</formula>
    </cfRule>
  </conditionalFormatting>
  <dataValidations count="1">
    <dataValidation sqref="K7:K11" showDropDown="0" showInputMessage="0" showErrorMessage="1" allowBlank="0" errorTitle="评级错误" error="只能选择 A/B/C/D" type="list">
      <formula1>"A,B,C,D"</formula1>
    </dataValidation>
  </dataValidations>
  <pageMargins left="0.25" right="0.25" top="1" bottom="1" header="0.5" footer="0.5"/>
  <pageSetup orientation="landscape" fitToHeight="0" fitToWidth="1"/>
  <headerFooter>
    <oddHeader>&amp;C&amp;B经营驾驶舱&amp;B</oddHeader>
    <oddFooter>&amp;R第 &amp;P 页 / 共 &amp;N 页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2026-05-04T13:56:44Z</dcterms:created>
  <dcterms:modified xmlns:dcterms="http://purl.org/dc/terms/" xmlns:xsi="http://www.w3.org/2001/XMLSchema-instance" xsi:type="dcterms:W3CDTF">2026-05-04T13:56:44Z</dcterms:modified>
</cp:coreProperties>
</file>